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Documents/cerridwen/12-Spring2026/phys461/lab1-compton/"/>
    </mc:Choice>
  </mc:AlternateContent>
  <xr:revisionPtr revIDLastSave="0" documentId="8_{1872086F-0D4A-4E46-9632-3E1C220EADF3}" xr6:coauthVersionLast="47" xr6:coauthVersionMax="47" xr10:uidLastSave="{00000000-0000-0000-0000-000000000000}"/>
  <bookViews>
    <workbookView xWindow="30240" yWindow="-7600" windowWidth="38400" windowHeight="21100" xr2:uid="{EAB3A9F8-AA5B-5B4D-A747-0810D3323869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J15" i="1"/>
  <c r="J14" i="1"/>
  <c r="J13" i="1"/>
  <c r="J12" i="1"/>
  <c r="J11" i="1"/>
  <c r="I15" i="1"/>
  <c r="I14" i="1"/>
  <c r="I13" i="1"/>
  <c r="I12" i="1"/>
  <c r="I11" i="1"/>
  <c r="H15" i="1"/>
  <c r="H14" i="1"/>
  <c r="H13" i="1"/>
  <c r="H12" i="1"/>
  <c r="H11" i="1"/>
  <c r="E15" i="1"/>
  <c r="E14" i="1"/>
  <c r="E13" i="1"/>
  <c r="E12" i="1"/>
  <c r="E11" i="1"/>
  <c r="G15" i="1"/>
  <c r="G14" i="1"/>
  <c r="G13" i="1"/>
  <c r="G12" i="1"/>
  <c r="G11" i="1"/>
  <c r="D15" i="1"/>
  <c r="F15" i="1"/>
  <c r="F14" i="1"/>
  <c r="F13" i="1"/>
  <c r="F12" i="1"/>
  <c r="F11" i="1"/>
  <c r="D14" i="1"/>
  <c r="L7" i="1"/>
  <c r="M7" i="1" s="1"/>
  <c r="M8" i="1"/>
  <c r="M6" i="1"/>
  <c r="M5" i="1"/>
  <c r="M4" i="1"/>
  <c r="M3" i="1"/>
  <c r="M2" i="1"/>
  <c r="E3" i="1"/>
  <c r="G3" i="1" s="1"/>
  <c r="E7" i="1"/>
  <c r="G2" i="1"/>
  <c r="J2" i="1" s="1"/>
  <c r="P2" i="1" s="1"/>
  <c r="G7" i="1"/>
  <c r="G8" i="1"/>
  <c r="J8" i="1" s="1"/>
  <c r="P8" i="1" s="1"/>
  <c r="E6" i="1"/>
  <c r="G6" i="1" s="1"/>
  <c r="J6" i="1" s="1"/>
  <c r="P6" i="1" s="1"/>
  <c r="E5" i="1"/>
  <c r="G5" i="1" s="1"/>
  <c r="J5" i="1" s="1"/>
  <c r="P5" i="1" s="1"/>
  <c r="E4" i="1"/>
  <c r="G4" i="1" s="1"/>
  <c r="J4" i="1" s="1"/>
  <c r="P4" i="1" s="1"/>
  <c r="E2" i="1"/>
  <c r="E8" i="1"/>
  <c r="B5" i="1"/>
  <c r="O5" i="1" s="1"/>
  <c r="F5" i="1"/>
  <c r="H5" i="1"/>
  <c r="F7" i="1"/>
  <c r="H7" i="1"/>
  <c r="B7" i="1"/>
  <c r="O7" i="1" s="1"/>
  <c r="B8" i="1"/>
  <c r="O8" i="1" s="1"/>
  <c r="B6" i="1"/>
  <c r="O6" i="1" s="1"/>
  <c r="B4" i="1"/>
  <c r="O4" i="1" s="1"/>
  <c r="B3" i="1"/>
  <c r="B2" i="1"/>
  <c r="O2" i="1" s="1"/>
  <c r="H8" i="1"/>
  <c r="H6" i="1"/>
  <c r="H4" i="1"/>
  <c r="H3" i="1"/>
  <c r="H2" i="1"/>
  <c r="F8" i="1"/>
  <c r="F6" i="1"/>
  <c r="F4" i="1"/>
  <c r="F3" i="1"/>
  <c r="F2" i="1"/>
  <c r="J7" i="1" l="1"/>
  <c r="P7" i="1" s="1"/>
  <c r="J3" i="1"/>
  <c r="I6" i="1"/>
  <c r="K6" i="1" s="1"/>
  <c r="I2" i="1"/>
  <c r="I3" i="1"/>
  <c r="K3" i="1" s="1"/>
  <c r="I4" i="1"/>
  <c r="I8" i="1"/>
  <c r="I7" i="1"/>
  <c r="I5" i="1"/>
  <c r="K7" i="1" l="1"/>
  <c r="K8" i="1"/>
  <c r="K4" i="1"/>
  <c r="K2" i="1"/>
  <c r="K5" i="1"/>
</calcChain>
</file>

<file path=xl/sharedStrings.xml><?xml version="1.0" encoding="utf-8"?>
<sst xmlns="http://schemas.openxmlformats.org/spreadsheetml/2006/main" count="24" uniqueCount="22">
  <si>
    <t>theta</t>
  </si>
  <si>
    <t>1-cos(theta)</t>
  </si>
  <si>
    <t>E(keV)</t>
  </si>
  <si>
    <t>E'(keV)</t>
  </si>
  <si>
    <t>1/E</t>
  </si>
  <si>
    <t>1/E'</t>
  </si>
  <si>
    <t>(1/E' - 1/E)</t>
  </si>
  <si>
    <t>E_0</t>
  </si>
  <si>
    <t>FWHM</t>
  </si>
  <si>
    <t>Corrected E' (keV)</t>
  </si>
  <si>
    <t>(1/(corrected E') - 1/E)</t>
  </si>
  <si>
    <t>1/(corrected E')</t>
  </si>
  <si>
    <t>sigma</t>
  </si>
  <si>
    <t>S</t>
  </si>
  <si>
    <t>xbar</t>
  </si>
  <si>
    <t>x_i-xbar</t>
  </si>
  <si>
    <t>(x_i-xbar)^2</t>
  </si>
  <si>
    <t>sigma/E'^2</t>
  </si>
  <si>
    <t>[(x_i-xbar)^2]/S</t>
  </si>
  <si>
    <t>[(x_i-xbar)^2]/S * sigma/E'^2</t>
  </si>
  <si>
    <t>SIGMA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</si>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</sst>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numFmt numFmtId="0" formatCode="General"/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numFmt numFmtId="0" formatCode="General"/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numFmt numFmtId="0" formatCode="General"/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(1/E' - 1/E)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Sheet1!$O$2:$O$6</c:f>
              <c:numCache>
                <c:formatCode>General</c:formatCode>
                <c:ptCount val="5"/>
                <c:pt idx="0">
                  <c:v>1.519224698779198E-2</c:v>
                </c:pt>
                <c:pt idx="2">
                  <c:v>0.13397459621556129</c:v>
                </c:pt>
                <c:pt idx="3">
                  <c:v>0.49999999999999989</c:v>
                </c:pt>
                <c:pt idx="4">
                  <c:v>0.65797985667433112</c:v>
                </c:pt>
              </c:numCache>
            </c:numRef>
          </c:xVal>
          <c:yVal>
            <c:numRef>
              <c:f>Sheet1!$P$2:$P$6</c:f>
              <c:numCache>
                <c:formatCode>General</c:formatCode>
                <c:ptCount val="5"/>
                <c:pt idx="0">
                  <c:v>3.6429358981484227E-5</c:v>
                </c:pt>
                <c:pt idx="2">
                  <c:v>3.6044468794393155E-4</c:v>
                </c:pt>
                <c:pt idx="3">
                  <c:v>1.0598623648578514E-3</c:v>
                </c:pt>
                <c:pt idx="4">
                  <c:v>1.4175224731936484E-3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3-E94F-A61A-045D75121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49280"/>
        <c:axId val="545349712"/>
      </c:scatterChart>
      <c:valAx>
        <c:axId val="5568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49712"/>
        <c:crosses val="autoZero"/>
        <c:crossBetween val="midCat"/>
      </c:valAx>
      <c:valAx>
        <c:axId val="5453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4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(1/E' - 1/E) vs 1-cos(</a:t>
            </a:r>
            <a:r>
              <a:rPr lang="el-GR"/>
              <a:t>θ)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Sheet1!$P$1</c:f>
              <c:strCache>
                <c:ptCount val="1"/>
                <c:pt idx="0">
                  <c:v>(1/E' - 1/E)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name>Linear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29265091863517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Sheet1!$O$2:$O$8</c:f>
              <c:numCache>
                <c:formatCode>General</c:formatCode>
                <c:ptCount val="7"/>
                <c:pt idx="0">
                  <c:v>1.519224698779198E-2</c:v>
                </c:pt>
                <c:pt idx="2">
                  <c:v>0.13397459621556129</c:v>
                </c:pt>
                <c:pt idx="3">
                  <c:v>0.49999999999999989</c:v>
                </c:pt>
                <c:pt idx="4">
                  <c:v>0.65797985667433112</c:v>
                </c:pt>
                <c:pt idx="5">
                  <c:v>1.1736481776669303</c:v>
                </c:pt>
                <c:pt idx="6">
                  <c:v>1.3420201433256687</c:v>
                </c:pt>
              </c:numCache>
            </c:numRef>
          </c:xVal>
          <c:yVal>
            <c:numRef>
              <c:f>Sheet1!$P$2:$P$8</c:f>
              <c:numCache>
                <c:formatCode>General</c:formatCode>
                <c:ptCount val="7"/>
                <c:pt idx="0">
                  <c:v>3.6429358981484227E-5</c:v>
                </c:pt>
                <c:pt idx="2">
                  <c:v>3.6044468794393155E-4</c:v>
                </c:pt>
                <c:pt idx="3">
                  <c:v>1.0598623648578514E-3</c:v>
                </c:pt>
                <c:pt idx="4">
                  <c:v>1.4175224731936484E-3</c:v>
                </c:pt>
                <c:pt idx="5">
                  <c:v>2.0749147915625371E-3</c:v>
                </c:pt>
                <c:pt idx="6">
                  <c:v>2.4849350297033502E-3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4B-824C-BD9F-97A9F432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12743"/>
        <c:axId val="340221959"/>
      </c:scatterChart>
      <c:valAx>
        <c:axId val="340212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1 - cos(</a:t>
                </a:r>
                <a:r>
                  <a:rPr lang="el-GR"/>
                  <a:t>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21959"/>
        <c:crosses val="autoZero"/>
        <c:crossBetween val="midCat"/>
      </c:valAx>
      <c:valAx>
        <c:axId val="34022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(1/E' - 1/E)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12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(1/E' - 1/E) vs 1-cos(</a:t>
            </a:r>
            <a:r>
              <a:rPr lang="el-GR"/>
              <a:t>θ)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Sheet1!$P$1</c:f>
              <c:strCache>
                <c:ptCount val="1"/>
                <c:pt idx="0">
                  <c:v>(1/E' - 1/E)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name>Linear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29265091863517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Sheet1!$O$2:$O$8</c:f>
              <c:numCache>
                <c:formatCode>General</c:formatCode>
                <c:ptCount val="7"/>
                <c:pt idx="0">
                  <c:v>1.519224698779198E-2</c:v>
                </c:pt>
                <c:pt idx="2">
                  <c:v>0.13397459621556129</c:v>
                </c:pt>
                <c:pt idx="3">
                  <c:v>0.49999999999999989</c:v>
                </c:pt>
                <c:pt idx="4">
                  <c:v>0.65797985667433112</c:v>
                </c:pt>
                <c:pt idx="5">
                  <c:v>1.1736481776669303</c:v>
                </c:pt>
                <c:pt idx="6">
                  <c:v>1.3420201433256687</c:v>
                </c:pt>
              </c:numCache>
            </c:numRef>
          </c:xVal>
          <c:yVal>
            <c:numRef>
              <c:f>Sheet1!$P$2:$P$8</c:f>
              <c:numCache>
                <c:formatCode>General</c:formatCode>
                <c:ptCount val="7"/>
                <c:pt idx="0">
                  <c:v>3.6429358981484227E-5</c:v>
                </c:pt>
                <c:pt idx="2">
                  <c:v>3.6044468794393155E-4</c:v>
                </c:pt>
                <c:pt idx="3">
                  <c:v>1.0598623648578514E-3</c:v>
                </c:pt>
                <c:pt idx="4">
                  <c:v>1.4175224731936484E-3</c:v>
                </c:pt>
                <c:pt idx="5">
                  <c:v>2.0749147915625371E-3</c:v>
                </c:pt>
                <c:pt idx="6">
                  <c:v>2.4849350297033502E-3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C-8D4D-BC27-802665F3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12743"/>
        <c:axId val="340221959"/>
      </c:scatterChart>
      <c:valAx>
        <c:axId val="340212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1 - cos(</a:t>
                </a:r>
                <a:r>
                  <a:rPr lang="el-GR"/>
                  <a:t>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21959"/>
        <c:crosses val="autoZero"/>
        <c:crossBetween val="midCat"/>
      </c:valAx>
      <c:valAx>
        <c:axId val="34022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(1/E' - 1/E)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12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558800</xdr:colOff>
      <xdr:row>8</xdr:row>
      <xdr:rowOff>105833</xdr:rowOff>
    </xdr:from>
    <xdr:to>
      <xdr:col>22</xdr:col>
      <xdr:colOff>152400</xdr:colOff>
      <xdr:row>22</xdr:row>
      <xdr:rowOff>4233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E1EC1-15A7-3692-BF0B-6CAFF6789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210444</xdr:colOff>
      <xdr:row>15</xdr:row>
      <xdr:rowOff>192115</xdr:rowOff>
    </xdr:from>
    <xdr:to>
      <xdr:col>19</xdr:col>
      <xdr:colOff>466880</xdr:colOff>
      <xdr:row>29</xdr:row>
      <xdr:rowOff>90777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03E77EA-14D3-E644-8F03-BC9660B515E3}"/>
            </a:ext>
            <a:ext uri="{147F2762-F138-4A5C-976F-8EAC2B608ADB}">
              <a16:predDERef xmlns:a16="http://schemas.microsoft.com/office/drawing/2014/main" pred="{F30925A5-B19A-56B4-0E03-1A5ABC021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15</xdr:col>
      <xdr:colOff>151694</xdr:colOff>
      <xdr:row>44</xdr:row>
      <xdr:rowOff>101600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7E6A81E-E852-AB47-9197-ACC2C2179E72}"/>
            </a:ext>
            <a:ext uri="{147F2762-F138-4A5C-976F-8EAC2B608ADB}">
              <a16:predDERef xmlns:a16="http://schemas.microsoft.com/office/drawing/2014/main" pred="{F30925A5-B19A-56B4-0E03-1A5ABC021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utk-my.sharepoint.com/personal/jwatts35_vols_utk_edu/Documents/Compton%20Scattering.xlsx" TargetMode="External"/><Relationship Id="rId1" Type="http://schemas.openxmlformats.org/officeDocument/2006/relationships/externalLinkPath" Target="https://liveutk-my.sharepoint.com/personal/jwatts35_vols_utk_edu/Documents/Compton%20Scatte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chedule"/>
    </sheetNames>
    <sheetDataSet>
      <sheetData sheetId="0">
        <row r="3">
          <cell r="B3">
            <v>1.519224698779198E-2</v>
          </cell>
          <cell r="G3">
            <v>3.5021035968938645E-5</v>
          </cell>
        </row>
        <row r="4">
          <cell r="B4">
            <v>6.0307379214091572E-2</v>
          </cell>
          <cell r="G4">
            <v>1.7510045859174691E-3</v>
          </cell>
        </row>
        <row r="5">
          <cell r="B5">
            <v>0.13397459621556129</v>
          </cell>
          <cell r="G5">
            <v>2.0229948864667513E-3</v>
          </cell>
        </row>
        <row r="6">
          <cell r="B6">
            <v>0.23395555688102199</v>
          </cell>
          <cell r="G6">
            <v>2.4109946093240921E-3</v>
          </cell>
        </row>
        <row r="7">
          <cell r="B7">
            <v>0.35721239031346064</v>
          </cell>
          <cell r="G7">
            <v>2.8753908941538133E-3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FF193-13AD-E949-BE74-2212D283C964}" name="Table1" displayName="Table1" ref="A1:K8" totalsRowShown="0" headerRowDxfId="15" dataDxfId="14" headerRowBorderDxfId="12" tableBorderDxfId="13" totalsRowBorderDxfId="11">
  <autoFilter ref="A1:K8" xr:uid="{AC4FF193-13AD-E949-BE74-2212D283C964}"/>
  <sortState xmlns:xlrd2="http://schemas.microsoft.com/office/spreadsheetml/2017/richdata2" ref="A2:K8">
    <sortCondition ref="A1:A8"/>
  </sortState>
  <tableColumns count="11">
    <tableColumn id="1" xr3:uid="{593A54D7-9700-984B-A73F-C09EBD4A95AB}" name="theta" dataDxfId="10"/>
    <tableColumn id="2" xr3:uid="{A8F67136-3499-5F4C-9214-4D9D8288343D}" name="1-cos(theta)" dataDxfId="9">
      <calculatedColumnFormula>1-COS(RADIANS(A2))</calculatedColumnFormula>
    </tableColumn>
    <tableColumn id="3" xr3:uid="{25F01241-7A17-924C-B0CE-09083E3B3BF8}" name="E(keV)" dataDxfId="8"/>
    <tableColumn id="4" xr3:uid="{57386E2C-6503-7C41-92E8-DB5F70C53ECF}" name="E'(keV)" dataDxfId="7"/>
    <tableColumn id="9" xr3:uid="{3ED7A879-37DD-B641-B3CF-9EC59071213B}" name="Corrected E' (keV)" dataDxfId="2">
      <calculatedColumnFormula>Table1[[#This Row],[E''(keV)]]</calculatedColumnFormula>
    </tableColumn>
    <tableColumn id="5" xr3:uid="{FF2D39F0-AD49-914C-B41C-FCEDFD56CC1E}" name="1/E" dataDxfId="6">
      <calculatedColumnFormula>1/C2</calculatedColumnFormula>
    </tableColumn>
    <tableColumn id="11" xr3:uid="{84577170-2DFD-0543-ABE1-84AA75B2DA7A}" name="1/(corrected E')" dataDxfId="1">
      <calculatedColumnFormula>1/Table1[[#This Row],[Corrected E'' (keV)]]</calculatedColumnFormula>
    </tableColumn>
    <tableColumn id="6" xr3:uid="{8270E605-424B-404E-9052-425B8067EF3E}" name="1/E'" dataDxfId="5">
      <calculatedColumnFormula>1/D2</calculatedColumnFormula>
    </tableColumn>
    <tableColumn id="7" xr3:uid="{1AD24329-56DE-A942-8E37-CCB1264697A4}" name="(1/E' - 1/E)" dataDxfId="4">
      <calculatedColumnFormula>H2-F2</calculatedColumnFormula>
    </tableColumn>
    <tableColumn id="10" xr3:uid="{E9EED725-6518-A746-B54E-6A637F1B7CD8}" name="(1/(corrected E') - 1/E)" dataDxfId="0">
      <calculatedColumnFormula>Table1[[#This Row],[1/(corrected E'')]]-Table1[[#This Row],[1/E]]</calculatedColumnFormula>
    </tableColumn>
    <tableColumn id="8" xr3:uid="{42F2BDE0-B3BB-7E49-B3A8-1F4FFD99D0B0}" name="E_0" dataDxfId="3">
      <calculatedColumnFormula>B2/I2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C6BC-D444-724F-AE78-6FC406A14574}">
  <dimension ref="A1:P17"/>
  <sheetViews>
    <sheetView tabSelected="1" zoomScale="194" zoomScaleNormal="194" workbookViewId="0">
      <selection activeCell="E19" sqref="E19"/>
    </sheetView>
  </sheetViews>
  <sheetFormatPr baseColWidth="10" defaultRowHeight="16" x14ac:dyDescent="0.2"/>
  <cols>
    <col min="1" max="1" width="10.83203125" style="1"/>
    <col min="2" max="2" width="12.1640625" style="1" customWidth="1"/>
    <col min="3" max="4" width="10.83203125" style="1" customWidth="1"/>
    <col min="5" max="5" width="18.5" style="1" customWidth="1"/>
    <col min="6" max="8" width="10.83203125" style="1" customWidth="1"/>
    <col min="9" max="10" width="12.1640625" style="1" customWidth="1"/>
    <col min="11" max="15" width="10.83203125" style="1"/>
    <col min="16" max="16" width="12.1640625" style="1" bestFit="1" customWidth="1"/>
    <col min="17" max="16384" width="10.83203125" style="1"/>
  </cols>
  <sheetData>
    <row r="1" spans="1: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4</v>
      </c>
      <c r="G1" s="5" t="s">
        <v>11</v>
      </c>
      <c r="H1" s="5" t="s">
        <v>5</v>
      </c>
      <c r="I1" s="5" t="s">
        <v>6</v>
      </c>
      <c r="J1" s="6" t="s">
        <v>10</v>
      </c>
      <c r="K1" s="6" t="s">
        <v>7</v>
      </c>
      <c r="L1" s="1" t="s">
        <v>8</v>
      </c>
      <c r="M1" s="1" t="s">
        <v>12</v>
      </c>
      <c r="O1" s="1" t="s">
        <v>1</v>
      </c>
      <c r="P1" s="1" t="s">
        <v>6</v>
      </c>
    </row>
    <row r="2" spans="1:16" x14ac:dyDescent="0.2">
      <c r="A2" s="2">
        <v>10</v>
      </c>
      <c r="B2" s="1">
        <f>1-COS(RADIANS(A2))</f>
        <v>1.519224698779198E-2</v>
      </c>
      <c r="C2" s="1">
        <v>662</v>
      </c>
      <c r="D2" s="1">
        <v>646.41099999999994</v>
      </c>
      <c r="E2" s="1">
        <f>Table1[[#This Row],[E''(keV)]]</f>
        <v>646.41099999999994</v>
      </c>
      <c r="F2" s="1">
        <f>1/C2</f>
        <v>1.5105740181268882E-3</v>
      </c>
      <c r="G2" s="1">
        <f>1/Table1[[#This Row],[Corrected E'' (keV)]]</f>
        <v>1.5470033771083724E-3</v>
      </c>
      <c r="H2" s="1">
        <f>1/D2</f>
        <v>1.5470033771083724E-3</v>
      </c>
      <c r="I2" s="1">
        <f>H2-F2</f>
        <v>3.6429358981484227E-5</v>
      </c>
      <c r="J2" s="3">
        <f>Table1[[#This Row],[1/(corrected E'')]]-Table1[[#This Row],[1/E]]</f>
        <v>3.6429358981484227E-5</v>
      </c>
      <c r="K2" s="3">
        <f>B2/I2</f>
        <v>417.03305829547179</v>
      </c>
      <c r="L2" s="1">
        <v>8.1080000000000005</v>
      </c>
      <c r="M2" s="1">
        <f>L2/(2*SQRT(2*LN(2)))</f>
        <v>3.4431505783676295</v>
      </c>
      <c r="O2" s="1">
        <f>B2</f>
        <v>1.519224698779198E-2</v>
      </c>
      <c r="P2" s="1">
        <f>Table1[[#This Row],[(1/(corrected E'') - 1/E)]]</f>
        <v>3.6429358981484227E-5</v>
      </c>
    </row>
    <row r="3" spans="1:16" x14ac:dyDescent="0.2">
      <c r="A3" s="2">
        <v>20</v>
      </c>
      <c r="B3" s="1">
        <f>1-COS(RADIANS(A3))</f>
        <v>6.0307379214091572E-2</v>
      </c>
      <c r="C3" s="1">
        <v>662</v>
      </c>
      <c r="D3" s="1">
        <v>306.67899999999997</v>
      </c>
      <c r="E3" s="1">
        <f>Table1[[#This Row],[E''(keV)]]</f>
        <v>306.67899999999997</v>
      </c>
      <c r="F3" s="1">
        <f>1/C3</f>
        <v>1.5105740181268882E-3</v>
      </c>
      <c r="G3" s="1">
        <f>1/Table1[[#This Row],[Corrected E'' (keV)]]</f>
        <v>3.260738426824139E-3</v>
      </c>
      <c r="H3" s="1">
        <f>1/D3</f>
        <v>3.260738426824139E-3</v>
      </c>
      <c r="I3" s="1">
        <f>H3-F3</f>
        <v>1.7501644086972508E-3</v>
      </c>
      <c r="J3" s="3">
        <f>Table1[[#This Row],[1/(corrected E'')]]-Table1[[#This Row],[1/E]]</f>
        <v>1.7501644086972508E-3</v>
      </c>
      <c r="K3" s="3">
        <f>B3/I3</f>
        <v>34.458122285198257</v>
      </c>
      <c r="L3" s="1">
        <v>17.202999999999999</v>
      </c>
      <c r="M3" s="1">
        <f>L3/(2*SQRT(2*LN(2)))</f>
        <v>7.3054414651773953</v>
      </c>
    </row>
    <row r="4" spans="1:16" x14ac:dyDescent="0.2">
      <c r="A4" s="2">
        <v>30</v>
      </c>
      <c r="B4" s="1">
        <f>1-COS(RADIANS(A4))</f>
        <v>0.13397459621556129</v>
      </c>
      <c r="C4" s="1">
        <v>662</v>
      </c>
      <c r="D4" s="1">
        <v>381.76299999999998</v>
      </c>
      <c r="E4" s="1">
        <f>Table1[[#This Row],[E''(keV)]]*1.4</f>
        <v>534.46819999999991</v>
      </c>
      <c r="F4" s="1">
        <f>1/C4</f>
        <v>1.5105740181268882E-3</v>
      </c>
      <c r="G4" s="1">
        <f>1/Table1[[#This Row],[Corrected E'' (keV)]]</f>
        <v>1.8710187060708198E-3</v>
      </c>
      <c r="H4" s="1">
        <f>1/D4</f>
        <v>2.6194261884991475E-3</v>
      </c>
      <c r="I4" s="1">
        <f>H4-F4</f>
        <v>1.1088521703722593E-3</v>
      </c>
      <c r="J4" s="3">
        <f>Table1[[#This Row],[1/(corrected E'')]]-Table1[[#This Row],[1/E]]</f>
        <v>3.6044468794393155E-4</v>
      </c>
      <c r="K4" s="3">
        <f>B4/I4</f>
        <v>120.82277493363601</v>
      </c>
      <c r="L4" s="1">
        <v>22.29</v>
      </c>
      <c r="M4" s="1">
        <f>L4/(2*SQRT(2*LN(2)))</f>
        <v>9.4656914642099714</v>
      </c>
      <c r="O4" s="1">
        <f>B4</f>
        <v>0.13397459621556129</v>
      </c>
      <c r="P4" s="1">
        <f>Table1[[#This Row],[(1/(corrected E'') - 1/E)]]</f>
        <v>3.6044468794393155E-4</v>
      </c>
    </row>
    <row r="5" spans="1:16" x14ac:dyDescent="0.2">
      <c r="A5" s="2">
        <v>60</v>
      </c>
      <c r="B5" s="1">
        <f>1-COS(RADIANS(A5))</f>
        <v>0.49999999999999989</v>
      </c>
      <c r="C5" s="1">
        <v>662</v>
      </c>
      <c r="D5" s="1">
        <v>277.88499999999999</v>
      </c>
      <c r="E5" s="1">
        <f>Table1[[#This Row],[E''(keV)]]*1.4</f>
        <v>389.03899999999999</v>
      </c>
      <c r="F5" s="1">
        <f>1/C5</f>
        <v>1.5105740181268882E-3</v>
      </c>
      <c r="G5" s="1">
        <f>1/Table1[[#This Row],[Corrected E'' (keV)]]</f>
        <v>2.5704363829847396E-3</v>
      </c>
      <c r="H5" s="1">
        <f>1/D5</f>
        <v>3.598610936178635E-3</v>
      </c>
      <c r="I5" s="1">
        <f>H5-F5</f>
        <v>2.0880369180517467E-3</v>
      </c>
      <c r="J5" s="3">
        <f>Table1[[#This Row],[1/(corrected E'')]]-Table1[[#This Row],[1/E]]</f>
        <v>1.0598623648578514E-3</v>
      </c>
      <c r="K5" s="3">
        <f>B5/I5</f>
        <v>239.45936763729608</v>
      </c>
      <c r="L5" s="1">
        <v>20</v>
      </c>
      <c r="M5" s="1">
        <f>L5/(2*SQRT(2*LN(2)))</f>
        <v>8.4932180028801909</v>
      </c>
      <c r="O5" s="1">
        <f>B5</f>
        <v>0.49999999999999989</v>
      </c>
      <c r="P5" s="1">
        <f>Table1[[#This Row],[(1/(corrected E'') - 1/E)]]</f>
        <v>1.0598623648578514E-3</v>
      </c>
    </row>
    <row r="6" spans="1:16" x14ac:dyDescent="0.2">
      <c r="A6" s="2">
        <v>70</v>
      </c>
      <c r="B6" s="1">
        <f>1-COS(RADIANS(A6))</f>
        <v>0.65797985667433112</v>
      </c>
      <c r="C6" s="1">
        <v>662</v>
      </c>
      <c r="D6" s="1">
        <v>243.94200000000001</v>
      </c>
      <c r="E6" s="1">
        <f>Table1[[#This Row],[E''(keV)]]*1.4</f>
        <v>341.5188</v>
      </c>
      <c r="F6" s="1">
        <f>1/C6</f>
        <v>1.5105740181268882E-3</v>
      </c>
      <c r="G6" s="1">
        <f>1/Table1[[#This Row],[Corrected E'' (keV)]]</f>
        <v>2.9280964913205366E-3</v>
      </c>
      <c r="H6" s="1">
        <f>1/D6</f>
        <v>4.0993350878487508E-3</v>
      </c>
      <c r="I6" s="1">
        <f>H6-F6</f>
        <v>2.5887610697218626E-3</v>
      </c>
      <c r="J6" s="3">
        <f>Table1[[#This Row],[1/(corrected E'')]]-Table1[[#This Row],[1/E]]</f>
        <v>1.4175224731936484E-3</v>
      </c>
      <c r="K6" s="3">
        <f>B6/I6</f>
        <v>254.16785827400622</v>
      </c>
      <c r="L6" s="1">
        <v>13.314</v>
      </c>
      <c r="M6" s="1">
        <f>L6/(2*SQRT(2*LN(2)))</f>
        <v>5.6539352245173431</v>
      </c>
      <c r="O6" s="1">
        <f>B6</f>
        <v>0.65797985667433112</v>
      </c>
      <c r="P6" s="1">
        <f>Table1[[#This Row],[(1/(corrected E'') - 1/E)]]</f>
        <v>1.4175224731936484E-3</v>
      </c>
    </row>
    <row r="7" spans="1:16" x14ac:dyDescent="0.2">
      <c r="A7" s="7">
        <v>100</v>
      </c>
      <c r="B7" s="8">
        <f>1-COS(RADIANS(A7))</f>
        <v>1.1736481776669303</v>
      </c>
      <c r="C7" s="8">
        <v>662</v>
      </c>
      <c r="D7" s="8">
        <v>278.90199999999999</v>
      </c>
      <c r="E7" s="1">
        <f>Table1[[#This Row],[E''(keV)]]</f>
        <v>278.90199999999999</v>
      </c>
      <c r="F7" s="8">
        <f>1/C7</f>
        <v>1.5105740181268882E-3</v>
      </c>
      <c r="G7" s="8">
        <f>1/Table1[[#This Row],[Corrected E'' (keV)]]</f>
        <v>3.5854888096894253E-3</v>
      </c>
      <c r="H7" s="8">
        <f>1/D7</f>
        <v>3.5854888096894253E-3</v>
      </c>
      <c r="I7" s="8">
        <f>H7-F7</f>
        <v>2.0749147915625371E-3</v>
      </c>
      <c r="J7" s="9">
        <f>Table1[[#This Row],[1/(corrected E'')]]-Table1[[#This Row],[1/E]]</f>
        <v>2.0749147915625371E-3</v>
      </c>
      <c r="K7" s="9">
        <f>B7/I7</f>
        <v>565.63680708213656</v>
      </c>
      <c r="L7" s="1">
        <f>AVERAGE(L2:L6)</f>
        <v>16.183</v>
      </c>
      <c r="M7" s="1">
        <f>L7/(2*SQRT(2*LN(2)))</f>
        <v>6.8722873470305066</v>
      </c>
      <c r="O7" s="1">
        <f>B7</f>
        <v>1.1736481776669303</v>
      </c>
      <c r="P7" s="1">
        <f>Table1[[#This Row],[(1/(corrected E'') - 1/E)]]</f>
        <v>2.0749147915625371E-3</v>
      </c>
    </row>
    <row r="8" spans="1:16" x14ac:dyDescent="0.2">
      <c r="A8" s="7">
        <v>110</v>
      </c>
      <c r="B8" s="8">
        <f>1-COS(RADIANS(A8))</f>
        <v>1.3420201433256687</v>
      </c>
      <c r="C8" s="8">
        <v>662</v>
      </c>
      <c r="D8" s="8">
        <v>250.28100000000001</v>
      </c>
      <c r="E8" s="8">
        <f>Table1[[#This Row],[E''(keV)]]</f>
        <v>250.28100000000001</v>
      </c>
      <c r="F8" s="8">
        <f>1/C8</f>
        <v>1.5105740181268882E-3</v>
      </c>
      <c r="G8" s="8">
        <f>1/Table1[[#This Row],[Corrected E'' (keV)]]</f>
        <v>3.9955090478302384E-3</v>
      </c>
      <c r="H8" s="8">
        <f>1/D8</f>
        <v>3.9955090478302384E-3</v>
      </c>
      <c r="I8" s="8">
        <f>H8-F8</f>
        <v>2.4849350297033502E-3</v>
      </c>
      <c r="J8" s="9">
        <f>Table1[[#This Row],[1/(corrected E'')]]-Table1[[#This Row],[1/E]]</f>
        <v>2.4849350297033502E-3</v>
      </c>
      <c r="K8" s="9">
        <f>B8/I8</f>
        <v>540.06246734180331</v>
      </c>
      <c r="L8" s="1">
        <v>13.555999999999999</v>
      </c>
      <c r="M8" s="1">
        <f>L8/(2*SQRT(2*LN(2)))</f>
        <v>5.7567031623521929</v>
      </c>
      <c r="O8" s="1">
        <f>B8</f>
        <v>1.3420201433256687</v>
      </c>
      <c r="P8" s="1">
        <f>Table1[[#This Row],[(1/(corrected E'') - 1/E)]]</f>
        <v>2.4849350297033502E-3</v>
      </c>
    </row>
    <row r="10" spans="1:16" x14ac:dyDescent="0.2">
      <c r="F10" s="1" t="s">
        <v>16</v>
      </c>
      <c r="G10" s="1" t="s">
        <v>15</v>
      </c>
      <c r="H10" s="1" t="s">
        <v>18</v>
      </c>
      <c r="I10" s="1" t="s">
        <v>17</v>
      </c>
      <c r="J10" s="1" t="s">
        <v>19</v>
      </c>
    </row>
    <row r="11" spans="1:16" x14ac:dyDescent="0.2">
      <c r="E11" s="1">
        <f>A2</f>
        <v>10</v>
      </c>
      <c r="F11" s="1">
        <f>POWER(G2-D14,2)</f>
        <v>1.899720385612039E-6</v>
      </c>
      <c r="G11" s="1">
        <f>G2-D14</f>
        <v>-1.3783034446782896E-3</v>
      </c>
      <c r="H11" s="1">
        <f>F11/D15</f>
        <v>0.52670021679181267</v>
      </c>
      <c r="I11" s="1">
        <f>M2/(D2*D2)</f>
        <v>8.2402149292437301E-6</v>
      </c>
      <c r="J11" s="1">
        <f>H11*I11</f>
        <v>4.3401229896438039E-6</v>
      </c>
    </row>
    <row r="12" spans="1:16" x14ac:dyDescent="0.2">
      <c r="E12" s="1">
        <f>A5</f>
        <v>60</v>
      </c>
      <c r="F12" s="1">
        <f>POWER(G5-D14,2)</f>
        <v>1.2593302833546903E-7</v>
      </c>
      <c r="G12" s="1">
        <f>G5-D14</f>
        <v>-3.548704388019225E-4</v>
      </c>
      <c r="H12" s="1">
        <f>F12/D15</f>
        <v>3.491511373352537E-2</v>
      </c>
      <c r="I12" s="1">
        <f>M5/(D5*D5)</f>
        <v>1.0998717882762265E-4</v>
      </c>
      <c r="J12" s="1">
        <f>H12*I12</f>
        <v>3.840214857996038E-6</v>
      </c>
    </row>
    <row r="13" spans="1:16" x14ac:dyDescent="0.2">
      <c r="E13" s="1">
        <f>A6</f>
        <v>70</v>
      </c>
      <c r="F13" s="1">
        <f>POWER(G6-D14,2)</f>
        <v>7.7822561082277149E-12</v>
      </c>
      <c r="G13" s="1">
        <f>G6-D14</f>
        <v>2.789669533874526E-6</v>
      </c>
      <c r="H13" s="1">
        <f>F13/D15</f>
        <v>2.1576417300024838E-6</v>
      </c>
      <c r="I13" s="1">
        <f>M6/(D6*D6)</f>
        <v>9.5011826787875606E-5</v>
      </c>
      <c r="J13" s="1">
        <f>H13*I13</f>
        <v>2.0500148232128825E-10</v>
      </c>
    </row>
    <row r="14" spans="1:16" x14ac:dyDescent="0.2">
      <c r="C14" s="1" t="s">
        <v>14</v>
      </c>
      <c r="D14" s="1">
        <f>AVERAGE(G2,G5,G6,G7,G8)</f>
        <v>2.9253068217866621E-3</v>
      </c>
      <c r="E14" s="1">
        <f>A7</f>
        <v>100</v>
      </c>
      <c r="F14" s="1">
        <f>POWER(G7-D14,2)</f>
        <v>4.3584025715124419E-7</v>
      </c>
      <c r="G14" s="1">
        <f>G7-D14</f>
        <v>6.601819879027632E-4</v>
      </c>
      <c r="H14" s="1">
        <f>F14/D15</f>
        <v>0.12083733988789225</v>
      </c>
      <c r="I14" s="1">
        <f>M7/(D7*D7)</f>
        <v>8.8348270646134154E-5</v>
      </c>
      <c r="J14" s="1">
        <f>H14*I14</f>
        <v>1.0675770008574406E-5</v>
      </c>
    </row>
    <row r="15" spans="1:16" x14ac:dyDescent="0.2">
      <c r="C15" s="1" t="s">
        <v>13</v>
      </c>
      <c r="D15" s="1">
        <f>SUM(F11:F15)</f>
        <v>3.6068342579834866E-6</v>
      </c>
      <c r="E15" s="1">
        <f>A8</f>
        <v>110</v>
      </c>
      <c r="F15" s="1">
        <f>POWER(G8-D14,2)</f>
        <v>1.145332804628626E-6</v>
      </c>
      <c r="G15" s="1">
        <f>G8-D14</f>
        <v>1.0702022260435764E-3</v>
      </c>
      <c r="H15" s="1">
        <f>F15/D15</f>
        <v>0.31754517194503973</v>
      </c>
      <c r="I15" s="1">
        <f>M8/(D8*D8)</f>
        <v>9.1900542074113228E-5</v>
      </c>
      <c r="J15" s="1">
        <f>H15*I15</f>
        <v>2.9182573434766643E-5</v>
      </c>
    </row>
    <row r="16" spans="1:16" x14ac:dyDescent="0.2">
      <c r="C16" s="1" t="s">
        <v>21</v>
      </c>
      <c r="D16" s="1">
        <f>SQRT(SUM(J11:J15))</f>
        <v>6.9310090385501025E-3</v>
      </c>
    </row>
    <row r="17" spans="3:3" x14ac:dyDescent="0.2">
      <c r="C17" s="1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Ashley</dc:creator>
  <cp:lastModifiedBy>Jordan Ashley</cp:lastModifiedBy>
  <dcterms:created xsi:type="dcterms:W3CDTF">2026-02-07T20:26:43Z</dcterms:created>
  <dcterms:modified xsi:type="dcterms:W3CDTF">2026-02-11T16:17:09Z</dcterms:modified>
</cp:coreProperties>
</file>